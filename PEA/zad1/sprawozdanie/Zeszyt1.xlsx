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o\Desktop\pwr_semestr_6\PEA\zad1\sprawozdanie\"/>
    </mc:Choice>
  </mc:AlternateContent>
  <xr:revisionPtr revIDLastSave="0" documentId="8_{B9A600FD-E698-4735-81B0-9D1507B4020C}" xr6:coauthVersionLast="47" xr6:coauthVersionMax="47" xr10:uidLastSave="{00000000-0000-0000-0000-000000000000}"/>
  <bookViews>
    <workbookView xWindow="-28920" yWindow="-2160" windowWidth="29040" windowHeight="15720" activeTab="1" xr2:uid="{F427668C-9D28-4E6B-9068-B8694CAEE012}"/>
  </bookViews>
  <sheets>
    <sheet name="BF_times" sheetId="2" r:id="rId1"/>
    <sheet name="RelativeErrors" sheetId="3" r:id="rId2"/>
    <sheet name="Arkusz1" sheetId="1" r:id="rId3"/>
  </sheets>
  <definedNames>
    <definedName name="ExternalData_1" localSheetId="0" hidden="1">BF_times!$A$1:$B$8</definedName>
    <definedName name="ExternalData_1" localSheetId="1" hidden="1">'RelativeErrors'!$A$1:$D$6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2" i="2"/>
  <c r="C3" i="2"/>
  <c r="C6" i="2"/>
  <c r="C7" i="2"/>
  <c r="C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A2F99-D468-4EDC-8D56-B02DD9AC2AFE}" keepAlive="1" name="Zapytanie — BF_times" description="Połączenie z zapytaniem „BF_times” w skoroszycie." type="5" refreshedVersion="8" background="1" saveData="1">
    <dbPr connection="Provider=Microsoft.Mashup.OleDb.1;Data Source=$Workbook$;Location=BF_times;Extended Properties=&quot;&quot;" command="SELECT * FROM [BF_times]"/>
  </connection>
  <connection id="2" xr16:uid="{9C38D95C-D73B-4334-B7D0-964AFAF5E18D}" keepAlive="1" name="Zapytanie — RelativeErrors" description="Połączenie z zapytaniem „RelativeErrors” w skoroszycie." type="5" refreshedVersion="8" background="1" saveData="1">
    <dbPr connection="Provider=Microsoft.Mashup.OleDb.1;Data Source=$Workbook$;Location=RelativeErrors;Extended Properties=&quot;&quot;" command="SELECT * FROM [RelativeErrors]"/>
  </connection>
</connections>
</file>

<file path=xl/sharedStrings.xml><?xml version="1.0" encoding="utf-8"?>
<sst xmlns="http://schemas.openxmlformats.org/spreadsheetml/2006/main" count="7" uniqueCount="6">
  <si>
    <t>N</t>
  </si>
  <si>
    <t>Czas[Mikrosekundy]</t>
  </si>
  <si>
    <t>Czas[milisekundy]</t>
  </si>
  <si>
    <t>NN</t>
  </si>
  <si>
    <t>RNN</t>
  </si>
  <si>
    <t>Losowy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</si>
</sst>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1">
    <cellStyle name="Normalny" xfId="0" builtinId="0"/>
  </cellStyles>
  <dxfs count="4">
    <dxf>
      <numFmt numFmtId="2" formatCode="0.00"/>
      <alignment horizontal="left" vertical="bottom" textRotation="0" wrapText="0" relativeIndent="-1" justifyLastLine="0" shrinkToFit="0" readingOrder="0"/>
    </dxf>
    <dxf>
      <numFmt numFmtId="2" formatCode="0.00"/>
      <alignment horizontal="left" vertical="bottom" textRotation="0" wrapText="0" relativeIndent="-1" justifyLastLine="0" shrinkToFit="0" readingOrder="0"/>
    </dxf>
    <dxf>
      <numFmt numFmtId="2" formatCode="0.00"/>
      <alignment horizontal="left" vertical="bottom" textRotation="0" wrapText="0" relativeIndent="-1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wykonania algorytmu Brute Force dla różnych rozmiarów problemu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BF_times!$C$1</c:f>
              <c:strCache>
                <c:ptCount val="1"/>
                <c:pt idx="0">
                  <c:v>Czas[milisekundy]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BF_times!$A$2:$A$8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</c:numCache>
            </c:numRef>
          </c:xVal>
          <c:yVal>
            <c:numRef>
              <c:f>BF_times!$C$2:$C$8</c:f>
              <c:numCache>
                <c:formatCode>General</c:formatCode>
                <c:ptCount val="7"/>
                <c:pt idx="0">
                  <c:v>4.2999999999999997E-2</c:v>
                </c:pt>
                <c:pt idx="1">
                  <c:v>0.45100000000000001</c:v>
                </c:pt>
                <c:pt idx="2">
                  <c:v>3.4129999999999998</c:v>
                </c:pt>
                <c:pt idx="3">
                  <c:v>37.17</c:v>
                </c:pt>
                <c:pt idx="4">
                  <c:v>453.238</c:v>
                </c:pt>
                <c:pt idx="5">
                  <c:v>5209.2380000000003</c:v>
                </c:pt>
                <c:pt idx="6">
                  <c:v>72346.566000000006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5-4179-91A0-EE4B3CC85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916000"/>
        <c:axId val="753920320"/>
      </c:scatterChart>
      <c:valAx>
        <c:axId val="753916000"/>
        <c:scaling>
          <c:orientation val="minMax"/>
          <c:max val="1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grafu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3920320"/>
        <c:crosses val="autoZero"/>
        <c:crossBetween val="midCat"/>
      </c:valAx>
      <c:valAx>
        <c:axId val="7539203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391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wykonania algorytmu Brute Force dla różnych rozmiarów problemu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BF_times!$C$1</c:f>
              <c:strCache>
                <c:ptCount val="1"/>
                <c:pt idx="0">
                  <c:v>Czas[milisekundy]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BF_times!$A$2:$A$8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</c:numCache>
            </c:numRef>
          </c:xVal>
          <c:yVal>
            <c:numRef>
              <c:f>BF_times!$C$2:$C$8</c:f>
              <c:numCache>
                <c:formatCode>General</c:formatCode>
                <c:ptCount val="7"/>
                <c:pt idx="0">
                  <c:v>4.2999999999999997E-2</c:v>
                </c:pt>
                <c:pt idx="1">
                  <c:v>0.45100000000000001</c:v>
                </c:pt>
                <c:pt idx="2">
                  <c:v>3.4129999999999998</c:v>
                </c:pt>
                <c:pt idx="3">
                  <c:v>37.17</c:v>
                </c:pt>
                <c:pt idx="4">
                  <c:v>453.238</c:v>
                </c:pt>
                <c:pt idx="5">
                  <c:v>5209.2380000000003</c:v>
                </c:pt>
                <c:pt idx="6">
                  <c:v>72346.566000000006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5-4179-91A0-EE4B3CC85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916000"/>
        <c:axId val="753920320"/>
      </c:scatterChart>
      <c:valAx>
        <c:axId val="753916000"/>
        <c:scaling>
          <c:orientation val="minMax"/>
          <c:max val="1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grafu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3920320"/>
        <c:crosses val="autoZero"/>
        <c:crossBetween val="midCat"/>
      </c:valAx>
      <c:valAx>
        <c:axId val="7539203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391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błędu względnego algorytmu zachłannego</a:t>
            </a:r>
            <a:r>
              <a:rPr lang="pl-PL" baseline="0"/>
              <a:t> od rozmiaru problemu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'RelativeErrors'!$B$1</c:f>
              <c:strCache>
                <c:ptCount val="1"/>
                <c:pt idx="0">
                  <c:v>NN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'RelativeErrors'!$A$2:$A$6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cat>
          <c:val>
            <c:numRef>
              <c:f>'RelativeErrors'!$B$2:$B$6</c:f>
              <c:numCache>
                <c:formatCode>0.00</c:formatCode>
                <c:ptCount val="5"/>
                <c:pt idx="0">
                  <c:v>49.165999999999997</c:v>
                </c:pt>
                <c:pt idx="1">
                  <c:v>56.28</c:v>
                </c:pt>
                <c:pt idx="2">
                  <c:v>57.806899999999999</c:v>
                </c:pt>
                <c:pt idx="3">
                  <c:v>60.526299999999999</c:v>
                </c:pt>
                <c:pt idx="4">
                  <c:v>61.101500000000001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7-4FE9-9E02-AF5ED9A7FD5D}"/>
            </c:ext>
          </c:extLst>
        </c:ser>
        <c:ser>
          <c:idx val="1"/>
          <c:order val="1"/>
          <c:tx>
            <c:strRef>
              <c:f>'RelativeErrors'!$C$1</c:f>
              <c:strCache>
                <c:ptCount val="1"/>
                <c:pt idx="0">
                  <c:v>RNN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'RelativeErrors'!$A$2:$A$6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cat>
          <c:val>
            <c:numRef>
              <c:f>'RelativeErrors'!$C$2:$C$6</c:f>
              <c:numCache>
                <c:formatCode>0.00</c:formatCode>
                <c:ptCount val="5"/>
                <c:pt idx="0">
                  <c:v>17.477900000000002</c:v>
                </c:pt>
                <c:pt idx="1">
                  <c:v>20.575600000000001</c:v>
                </c:pt>
                <c:pt idx="2">
                  <c:v>19.555900000000001</c:v>
                </c:pt>
                <c:pt idx="3">
                  <c:v>22.020499999999998</c:v>
                </c:pt>
                <c:pt idx="4">
                  <c:v>21.553000000000001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7-4FE9-9E02-AF5ED9A7FD5D}"/>
            </c:ext>
          </c:extLst>
        </c:ser>
        <c:ser>
          <c:idx val="2"/>
          <c:order val="2"/>
          <c:tx>
            <c:strRef>
              <c:f>'RelativeErrors'!$D$1</c:f>
              <c:strCache>
                <c:ptCount val="1"/>
                <c:pt idx="0">
                  <c:v>Losowy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'RelativeErrors'!$A$2:$A$6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cat>
          <c:val>
            <c:numRef>
              <c:f>'RelativeErrors'!$D$2:$D$6</c:f>
              <c:numCache>
                <c:formatCode>0.00</c:formatCode>
                <c:ptCount val="5"/>
                <c:pt idx="0">
                  <c:v>88.092200000000005</c:v>
                </c:pt>
                <c:pt idx="1">
                  <c:v>101.878</c:v>
                </c:pt>
                <c:pt idx="2">
                  <c:v>130.78800000000001</c:v>
                </c:pt>
                <c:pt idx="3">
                  <c:v>146.89099999999999</c:v>
                </c:pt>
                <c:pt idx="4">
                  <c:v>167.40700000000001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7-4FE9-9E02-AF5ED9A7FD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0953584"/>
        <c:axId val="830954064"/>
      </c:lineChart>
      <c:catAx>
        <c:axId val="83095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problemu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954064"/>
        <c:crosses val="autoZero"/>
        <c:auto val="1"/>
        <c:lblAlgn val="ctr"/>
        <c:lblOffset val="100"/>
        <c:noMultiLvlLbl val="0"/>
      </c:catAx>
      <c:valAx>
        <c:axId val="8309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</a:t>
                </a:r>
                <a:r>
                  <a:rPr lang="pl-PL" baseline="0"/>
                  <a:t> błąd względny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95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344365</xdr:colOff>
      <xdr:row>10</xdr:row>
      <xdr:rowOff>169618</xdr:rowOff>
    </xdr:from>
    <xdr:to>
      <xdr:col>7</xdr:col>
      <xdr:colOff>407378</xdr:colOff>
      <xdr:row>25</xdr:row>
      <xdr:rowOff>55318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A8E6F04-715C-9B4B-C1E7-2F872D988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373673</xdr:colOff>
      <xdr:row>10</xdr:row>
      <xdr:rowOff>162291</xdr:rowOff>
    </xdr:from>
    <xdr:to>
      <xdr:col>7</xdr:col>
      <xdr:colOff>436686</xdr:colOff>
      <xdr:row>25</xdr:row>
      <xdr:rowOff>47991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8B84104-1F8E-F7A2-8223-17ADC39DA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581024</xdr:colOff>
      <xdr:row>5</xdr:row>
      <xdr:rowOff>128587</xdr:rowOff>
    </xdr:from>
    <xdr:to>
      <xdr:col>17</xdr:col>
      <xdr:colOff>495299</xdr:colOff>
      <xdr:row>26</xdr:row>
      <xdr:rowOff>100012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22520FE-939F-3B63-6FED-51D3E1B67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574032-C990-4DBF-B7EB-5E7E61EEB7B3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N" tableColumnId="1"/>
      <queryTableField id="2" name="Czas[Mikrosekundy]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D36D35E-AA91-4E91-98A4-D10E7EF2AE45}" autoFormatId="16" applyNumberFormats="0" applyBorderFormats="0" applyFontFormats="0" applyPatternFormats="0" applyAlignmentFormats="0" applyWidthHeightFormats="0">
  <queryTableRefresh nextId="5">
    <queryTableFields count="4">
      <queryTableField id="1" name="N" tableColumnId="1"/>
      <queryTableField id="2" name="ErrorNN" tableColumnId="2"/>
      <queryTableField id="3" name="ErrorRNN" tableColumnId="3"/>
      <queryTableField id="4" name="ErrorRando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E4D78-F022-42C7-87D8-2DB9B730E5B6}" name="BF_times" displayName="BF_times" ref="A1:C8" tableType="queryTable" totalsRowShown="0">
  <autoFilter ref="A1:C8" xr:uid="{384E4D78-F022-42C7-87D8-2DB9B730E5B6}"/>
  <tableColumns count="3">
    <tableColumn id="1" xr3:uid="{ADB360C8-A83D-4DEB-8BAD-679A99E86E28}" uniqueName="1" name="N" queryTableFieldId="1"/>
    <tableColumn id="2" xr3:uid="{F6357A31-50E4-4C6E-83B0-EB697B638CBA}" uniqueName="2" name="Czas[Mikrosekundy]" queryTableFieldId="2"/>
    <tableColumn id="3" xr3:uid="{C6CF3B7A-DA65-4E8F-A9AE-551514FEF68A}" uniqueName="3" name="Czas[milisekundy]" queryTableFieldId="3" dataDxfId="3">
      <calculatedColumnFormula>BF_times[[#This Row],[Czas'[Mikrosekundy']]]/1000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BF41B-A381-4EED-ACDB-D1F35A1E8660}" name="RelativeErrors" displayName="RelativeErrors" ref="A1:D6" tableType="queryTable" totalsRowShown="0">
  <autoFilter ref="A1:D6" xr:uid="{B9EBF41B-A381-4EED-ACDB-D1F35A1E8660}"/>
  <tableColumns count="4">
    <tableColumn id="1" xr3:uid="{96AF11BD-FEB7-4302-8C4E-B181A68E5F96}" uniqueName="1" name="N" queryTableFieldId="1"/>
    <tableColumn id="2" xr3:uid="{1132E5DE-6CA9-4DE3-8C37-1EC1C7C4431C}" uniqueName="2" name="NN" queryTableFieldId="2" dataDxfId="2"/>
    <tableColumn id="3" xr3:uid="{DFD79E31-BC37-40C9-85B6-5E781A58F5DE}" uniqueName="3" name="RNN" queryTableFieldId="3" dataDxfId="1"/>
    <tableColumn id="4" xr3:uid="{58613A15-8F8A-4BB6-946F-3A737C236C83}" uniqueName="4" name="Losow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7807-375E-456B-8824-2D687D0720CC}">
  <dimension ref="A1:C8"/>
  <sheetViews>
    <sheetView zoomScale="130" zoomScaleNormal="130" workbookViewId="0">
      <selection activeCell="C8" sqref="C8"/>
    </sheetView>
  </sheetViews>
  <sheetFormatPr defaultRowHeight="15" x14ac:dyDescent="0.25"/>
  <cols>
    <col min="1" max="1" width="4.7109375" bestFit="1" customWidth="1"/>
    <col min="2" max="2" width="2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</v>
      </c>
      <c r="B2">
        <v>43</v>
      </c>
      <c r="C2">
        <f>BF_times[[#This Row],[Czas'[Mikrosekundy']]]/1000</f>
        <v>4.2999999999999997E-2</v>
      </c>
    </row>
    <row r="3" spans="1:3" x14ac:dyDescent="0.25">
      <c r="A3">
        <v>9</v>
      </c>
      <c r="B3">
        <v>451</v>
      </c>
      <c r="C3">
        <f>BF_times[[#This Row],[Czas'[Mikrosekundy']]]/1000</f>
        <v>0.45100000000000001</v>
      </c>
    </row>
    <row r="4" spans="1:3" x14ac:dyDescent="0.25">
      <c r="A4">
        <v>10</v>
      </c>
      <c r="B4">
        <v>3413</v>
      </c>
      <c r="C4">
        <f>BF_times[[#This Row],[Czas'[Mikrosekundy']]]/1000</f>
        <v>3.4129999999999998</v>
      </c>
    </row>
    <row r="5" spans="1:3" x14ac:dyDescent="0.25">
      <c r="A5">
        <v>11</v>
      </c>
      <c r="B5">
        <v>37170</v>
      </c>
      <c r="C5">
        <f>BF_times[[#This Row],[Czas'[Mikrosekundy']]]/1000</f>
        <v>37.17</v>
      </c>
    </row>
    <row r="6" spans="1:3" x14ac:dyDescent="0.25">
      <c r="A6">
        <v>12</v>
      </c>
      <c r="B6">
        <v>453238</v>
      </c>
      <c r="C6">
        <f>BF_times[[#This Row],[Czas'[Mikrosekundy']]]/1000</f>
        <v>453.238</v>
      </c>
    </row>
    <row r="7" spans="1:3" x14ac:dyDescent="0.25">
      <c r="A7">
        <v>13</v>
      </c>
      <c r="B7">
        <v>5209238</v>
      </c>
      <c r="C7">
        <f>BF_times[[#This Row],[Czas'[Mikrosekundy']]]/1000</f>
        <v>5209.2380000000003</v>
      </c>
    </row>
    <row r="8" spans="1:3" x14ac:dyDescent="0.25">
      <c r="A8">
        <v>14</v>
      </c>
      <c r="B8">
        <v>72346566</v>
      </c>
      <c r="C8">
        <f>BF_times[[#This Row],[Czas'[Mikrosekundy']]]/1000</f>
        <v>72346.566000000006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A15D-C964-4F2C-B224-BD14901657E7}">
  <dimension ref="A1:D6"/>
  <sheetViews>
    <sheetView tabSelected="1" workbookViewId="0">
      <selection activeCell="V23" sqref="V23"/>
    </sheetView>
  </sheetViews>
  <sheetFormatPr defaultRowHeight="15" x14ac:dyDescent="0.25"/>
  <cols>
    <col min="1" max="1" width="4.7109375" bestFit="1" customWidth="1"/>
    <col min="2" max="2" width="10.5703125" bestFit="1" customWidth="1"/>
    <col min="3" max="3" width="11.85546875" bestFit="1" customWidth="1"/>
    <col min="4" max="4" width="15.140625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>
        <v>10</v>
      </c>
      <c r="B2" s="1">
        <v>49.165999999999997</v>
      </c>
      <c r="C2" s="1">
        <v>17.477900000000002</v>
      </c>
      <c r="D2" s="1">
        <v>88.092200000000005</v>
      </c>
    </row>
    <row r="3" spans="1:4" x14ac:dyDescent="0.25">
      <c r="A3">
        <v>11</v>
      </c>
      <c r="B3" s="1">
        <v>56.28</v>
      </c>
      <c r="C3" s="1">
        <v>20.575600000000001</v>
      </c>
      <c r="D3" s="1">
        <v>101.878</v>
      </c>
    </row>
    <row r="4" spans="1:4" x14ac:dyDescent="0.25">
      <c r="A4">
        <v>12</v>
      </c>
      <c r="B4" s="1">
        <v>57.806899999999999</v>
      </c>
      <c r="C4" s="1">
        <v>19.555900000000001</v>
      </c>
      <c r="D4" s="1">
        <v>130.78800000000001</v>
      </c>
    </row>
    <row r="5" spans="1:4" x14ac:dyDescent="0.25">
      <c r="A5">
        <v>13</v>
      </c>
      <c r="B5" s="1">
        <v>60.526299999999999</v>
      </c>
      <c r="C5" s="1">
        <v>22.020499999999998</v>
      </c>
      <c r="D5" s="1">
        <v>146.89099999999999</v>
      </c>
    </row>
    <row r="6" spans="1:4" x14ac:dyDescent="0.25">
      <c r="A6">
        <v>14</v>
      </c>
      <c r="B6" s="1">
        <v>61.101500000000001</v>
      </c>
      <c r="C6" s="1">
        <v>21.553000000000001</v>
      </c>
      <c r="D6" s="1">
        <v>167.40700000000001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48AD-46D2-4ED3-970B-821AD32A166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1DA0D0-650A-4235-BFBE-07B0ACDBB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BF_times</vt:lpstr>
      <vt:lpstr>RelativeErrors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Gościński (280878)</dc:creator>
  <cp:lastModifiedBy>Daniel Gościński (280878)</cp:lastModifiedBy>
  <dcterms:created xsi:type="dcterms:W3CDTF">2026-03-25T18:45:15Z</dcterms:created>
  <dcterms:modified xsi:type="dcterms:W3CDTF">2026-03-25T23:23:26Z</dcterms:modified>
</cp:coreProperties>
</file>